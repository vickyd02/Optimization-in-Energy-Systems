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ky/Downloads/Energy 291 Optimization/"/>
    </mc:Choice>
  </mc:AlternateContent>
  <xr:revisionPtr revIDLastSave="0" documentId="13_ncr:1_{BA2429E4-00B9-194D-B516-296FBCF1F1D4}" xr6:coauthVersionLast="47" xr6:coauthVersionMax="47" xr10:uidLastSave="{00000000-0000-0000-0000-000000000000}"/>
  <bookViews>
    <workbookView xWindow="0" yWindow="600" windowWidth="28800" windowHeight="15820" xr2:uid="{61278D35-BB6F-7645-9DFF-84A89F20D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L22" i="1"/>
  <c r="M23" i="1"/>
  <c r="M24" i="1"/>
  <c r="M25" i="1"/>
  <c r="M26" i="1"/>
  <c r="M27" i="1"/>
  <c r="M28" i="1"/>
  <c r="M29" i="1"/>
  <c r="M30" i="1"/>
  <c r="M31" i="1"/>
  <c r="M32" i="1"/>
  <c r="M33" i="1"/>
  <c r="M34" i="1"/>
  <c r="M22" i="1"/>
  <c r="L23" i="1"/>
  <c r="L24" i="1"/>
  <c r="L25" i="1"/>
  <c r="L26" i="1"/>
  <c r="L27" i="1"/>
  <c r="L28" i="1"/>
  <c r="L29" i="1"/>
  <c r="L30" i="1"/>
  <c r="L31" i="1"/>
  <c r="L32" i="1"/>
  <c r="L33" i="1"/>
  <c r="L34" i="1"/>
</calcChain>
</file>

<file path=xl/sharedStrings.xml><?xml version="1.0" encoding="utf-8"?>
<sst xmlns="http://schemas.openxmlformats.org/spreadsheetml/2006/main" count="173" uniqueCount="81">
  <si>
    <t>Table 1: Region definition details</t>
  </si>
  <si>
    <t>EIA region code</t>
  </si>
  <si>
    <t xml:space="preserve">EIA region name </t>
  </si>
  <si>
    <t>Indicative city</t>
  </si>
  <si>
    <t>Airport code</t>
  </si>
  <si>
    <t>CAL</t>
  </si>
  <si>
    <t>California</t>
  </si>
  <si>
    <t>Los Angeles, CA</t>
  </si>
  <si>
    <t>LAX</t>
  </si>
  <si>
    <t>CAR</t>
  </si>
  <si>
    <t>Carolinas</t>
  </si>
  <si>
    <t>Charlotte, NC</t>
  </si>
  <si>
    <t>CLT</t>
  </si>
  <si>
    <t>CENT</t>
  </si>
  <si>
    <t>Central</t>
  </si>
  <si>
    <t>Omaha, NB</t>
  </si>
  <si>
    <t>OMA</t>
  </si>
  <si>
    <t>FLA</t>
  </si>
  <si>
    <t>Florida</t>
  </si>
  <si>
    <t>Miami, FL</t>
  </si>
  <si>
    <t>MIA</t>
  </si>
  <si>
    <t>MIDA</t>
  </si>
  <si>
    <t>Mid-atlantic</t>
  </si>
  <si>
    <t>Washington, DC</t>
  </si>
  <si>
    <t>IAD</t>
  </si>
  <si>
    <t>MIDW</t>
  </si>
  <si>
    <t>Midwest</t>
  </si>
  <si>
    <t>Chicago, IL</t>
  </si>
  <si>
    <t>ORD</t>
  </si>
  <si>
    <t>NE</t>
  </si>
  <si>
    <t>Northeast</t>
  </si>
  <si>
    <t>Boston, MA</t>
  </si>
  <si>
    <t>BOS</t>
  </si>
  <si>
    <t>NW</t>
  </si>
  <si>
    <t>Northwest</t>
  </si>
  <si>
    <t>Seatlle, WA</t>
  </si>
  <si>
    <t>SEA</t>
  </si>
  <si>
    <t>NY</t>
  </si>
  <si>
    <t>New York</t>
  </si>
  <si>
    <t>New York, NY</t>
  </si>
  <si>
    <t>JFK</t>
  </si>
  <si>
    <t>SE</t>
  </si>
  <si>
    <t>Southeast</t>
  </si>
  <si>
    <t>Atlanta, GA</t>
  </si>
  <si>
    <t>ATL</t>
  </si>
  <si>
    <t>SW</t>
  </si>
  <si>
    <t>Southwest</t>
  </si>
  <si>
    <t>Phoenix, AZ</t>
  </si>
  <si>
    <t>PHX</t>
  </si>
  <si>
    <t>TEN</t>
  </si>
  <si>
    <t>Tennessee</t>
  </si>
  <si>
    <t>Memphis, TN</t>
  </si>
  <si>
    <t>MEM</t>
  </si>
  <si>
    <t>TEX</t>
  </si>
  <si>
    <t>Texas</t>
  </si>
  <si>
    <t>Houston, TX</t>
  </si>
  <si>
    <t>IAH</t>
  </si>
  <si>
    <t>Source: Author assumptions</t>
  </si>
  <si>
    <t>Source: Above airport codes used with US Bureau of Transportation Statistics dataset. https://www.transtats.bts.gov/Distance.aspx</t>
  </si>
  <si>
    <t>Demand (MWh)</t>
  </si>
  <si>
    <t>Generation (MWh)</t>
  </si>
  <si>
    <t>Total demand</t>
  </si>
  <si>
    <t>Coal</t>
  </si>
  <si>
    <t>Natural gas</t>
  </si>
  <si>
    <t>Nuclear</t>
  </si>
  <si>
    <t>Oil</t>
  </si>
  <si>
    <t>Hydro</t>
  </si>
  <si>
    <t>Solar</t>
  </si>
  <si>
    <t>Wind</t>
  </si>
  <si>
    <t>Other</t>
  </si>
  <si>
    <t>Unknown</t>
  </si>
  <si>
    <t>Source: EIA Hourly electricity grid monitor. Accessed April 18th, 2024. https://www.eia.gov/electricity/gridmonitor/dashboard/electric_overview/regional/REG-NW</t>
  </si>
  <si>
    <t>Table 4: Does a power line exist between these regions?</t>
  </si>
  <si>
    <t>Transmission to this region ---&gt;</t>
  </si>
  <si>
    <t xml:space="preserve">Transmission from this region </t>
  </si>
  <si>
    <t>Source: Based on trades reported in EIA Hourly electricity grid monitor. Accessed April 18th, 2024. https://www.eia.gov/electricity/gridmonitor/dashboard/electric_overview/regional/REG-NW</t>
  </si>
  <si>
    <t>Table 5: Observed power transmission for March 25th, 2024 [MWh]</t>
  </si>
  <si>
    <t>Transmission from this region</t>
  </si>
  <si>
    <t>Table 2: Power demand and generation by EIA region, daily total, March 25th 2024 [MWh]</t>
  </si>
  <si>
    <t>Table 3: Distance matrix [miles]</t>
  </si>
  <si>
    <t>Note: Value adjusted by A. Brandt from raw EIA data in order to ensure that supply and demand balance.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</si>
</sst>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 applyAlignment="1">
      <alignment horizontal="right" vertical="top"/>
    </xf>
    <xf numFmtId="3" fontId="3" fillId="0" borderId="0" xfId="0" applyNumberFormat="1" applyFont="1" applyAlignment="1">
      <alignment horizontal="right" vertical="top" wrapText="1"/>
    </xf>
    <xf numFmtId="1" fontId="0" fillId="0" borderId="0" xfId="0" applyNumberFormat="1"/>
    <xf numFmtId="3" fontId="0" fillId="0" borderId="0" xfId="0" applyNumberFormat="1"/>
    <xf numFmtId="1" fontId="0" fillId="2" borderId="0" xfId="0" applyNumberFormat="1" applyFill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C8FD-1E72-D34E-A79C-F010100A0A19}">
  <dimension ref="A1:O90"/>
  <sheetViews>
    <sheetView tabSelected="1" topLeftCell="A63" workbookViewId="0">
      <selection activeCell="I78" sqref="I78"/>
    </sheetView>
  </sheetViews>
  <sheetFormatPr baseColWidth="10" defaultRowHeight="16" x14ac:dyDescent="0.2"/>
  <cols>
    <col min="2" max="2" width="17.33203125" customWidth="1"/>
    <col min="3" max="3" width="22.1640625" customWidth="1"/>
  </cols>
  <sheetData>
    <row r="1" spans="1:7" x14ac:dyDescent="0.2">
      <c r="A1" s="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</row>
    <row r="3" spans="1:7" x14ac:dyDescent="0.2">
      <c r="A3" s="2" t="s">
        <v>5</v>
      </c>
      <c r="B3" t="s">
        <v>6</v>
      </c>
      <c r="C3" t="s">
        <v>7</v>
      </c>
      <c r="D3" t="s">
        <v>8</v>
      </c>
    </row>
    <row r="4" spans="1:7" x14ac:dyDescent="0.2">
      <c r="A4" s="2" t="s">
        <v>9</v>
      </c>
      <c r="B4" t="s">
        <v>10</v>
      </c>
      <c r="C4" t="s">
        <v>11</v>
      </c>
      <c r="D4" t="s">
        <v>12</v>
      </c>
    </row>
    <row r="5" spans="1:7" x14ac:dyDescent="0.2">
      <c r="A5" s="2" t="s">
        <v>13</v>
      </c>
      <c r="B5" t="s">
        <v>14</v>
      </c>
      <c r="C5" t="s">
        <v>15</v>
      </c>
      <c r="D5" t="s">
        <v>16</v>
      </c>
    </row>
    <row r="6" spans="1:7" x14ac:dyDescent="0.2">
      <c r="A6" s="2" t="s">
        <v>17</v>
      </c>
      <c r="B6" t="s">
        <v>18</v>
      </c>
      <c r="C6" t="s">
        <v>19</v>
      </c>
      <c r="D6" t="s">
        <v>20</v>
      </c>
    </row>
    <row r="7" spans="1:7" x14ac:dyDescent="0.2">
      <c r="A7" s="2" t="s">
        <v>21</v>
      </c>
      <c r="B7" t="s">
        <v>22</v>
      </c>
      <c r="C7" t="s">
        <v>23</v>
      </c>
      <c r="D7" t="s">
        <v>24</v>
      </c>
    </row>
    <row r="8" spans="1:7" x14ac:dyDescent="0.2">
      <c r="A8" s="2" t="s">
        <v>25</v>
      </c>
      <c r="B8" t="s">
        <v>26</v>
      </c>
      <c r="C8" t="s">
        <v>27</v>
      </c>
      <c r="D8" t="s">
        <v>28</v>
      </c>
    </row>
    <row r="9" spans="1:7" x14ac:dyDescent="0.2">
      <c r="A9" s="2" t="s">
        <v>29</v>
      </c>
      <c r="B9" t="s">
        <v>30</v>
      </c>
      <c r="C9" t="s">
        <v>31</v>
      </c>
      <c r="D9" t="s">
        <v>32</v>
      </c>
    </row>
    <row r="10" spans="1:7" x14ac:dyDescent="0.2">
      <c r="A10" s="2" t="s">
        <v>33</v>
      </c>
      <c r="B10" t="s">
        <v>34</v>
      </c>
      <c r="C10" t="s">
        <v>35</v>
      </c>
      <c r="D10" t="s">
        <v>36</v>
      </c>
    </row>
    <row r="11" spans="1:7" x14ac:dyDescent="0.2">
      <c r="A11" s="2" t="s">
        <v>37</v>
      </c>
      <c r="B11" t="s">
        <v>38</v>
      </c>
      <c r="C11" t="s">
        <v>39</v>
      </c>
      <c r="D11" t="s">
        <v>40</v>
      </c>
    </row>
    <row r="12" spans="1:7" x14ac:dyDescent="0.2">
      <c r="A12" s="2" t="s">
        <v>41</v>
      </c>
      <c r="B12" t="s">
        <v>42</v>
      </c>
      <c r="C12" t="s">
        <v>43</v>
      </c>
      <c r="D12" t="s">
        <v>44</v>
      </c>
    </row>
    <row r="13" spans="1:7" x14ac:dyDescent="0.2">
      <c r="A13" s="2" t="s">
        <v>45</v>
      </c>
      <c r="B13" t="s">
        <v>46</v>
      </c>
      <c r="C13" t="s">
        <v>47</v>
      </c>
      <c r="D13" t="s">
        <v>48</v>
      </c>
      <c r="G13" s="5"/>
    </row>
    <row r="14" spans="1:7" x14ac:dyDescent="0.2">
      <c r="A14" s="2" t="s">
        <v>49</v>
      </c>
      <c r="B14" t="s">
        <v>50</v>
      </c>
      <c r="C14" t="s">
        <v>51</v>
      </c>
      <c r="D14" t="s">
        <v>52</v>
      </c>
    </row>
    <row r="15" spans="1:7" x14ac:dyDescent="0.2">
      <c r="A15" s="2" t="s">
        <v>53</v>
      </c>
      <c r="B15" t="s">
        <v>54</v>
      </c>
      <c r="C15" t="s">
        <v>55</v>
      </c>
      <c r="D15" t="s">
        <v>56</v>
      </c>
    </row>
    <row r="16" spans="1:7" x14ac:dyDescent="0.2">
      <c r="A16" s="2" t="s">
        <v>57</v>
      </c>
    </row>
    <row r="17" spans="1:13" x14ac:dyDescent="0.2">
      <c r="A17" s="2"/>
    </row>
    <row r="19" spans="1:13" x14ac:dyDescent="0.2">
      <c r="A19" s="1" t="s">
        <v>78</v>
      </c>
    </row>
    <row r="20" spans="1:13" x14ac:dyDescent="0.2">
      <c r="B20" t="s">
        <v>59</v>
      </c>
      <c r="C20" s="9" t="s">
        <v>60</v>
      </c>
      <c r="D20" s="9"/>
      <c r="E20" s="9"/>
      <c r="F20" s="9"/>
      <c r="G20" s="9"/>
      <c r="H20" s="9"/>
      <c r="I20" s="9"/>
      <c r="J20" s="9"/>
      <c r="K20" s="9"/>
    </row>
    <row r="21" spans="1:13" x14ac:dyDescent="0.2">
      <c r="B21" t="s">
        <v>61</v>
      </c>
      <c r="C21" s="3" t="s">
        <v>62</v>
      </c>
      <c r="D21" s="3" t="s">
        <v>63</v>
      </c>
      <c r="E21" s="4" t="s">
        <v>64</v>
      </c>
      <c r="F21" s="4" t="s">
        <v>65</v>
      </c>
      <c r="G21" s="4" t="s">
        <v>66</v>
      </c>
      <c r="H21" s="4" t="s">
        <v>67</v>
      </c>
      <c r="I21" s="4" t="s">
        <v>68</v>
      </c>
      <c r="J21" s="4" t="s">
        <v>69</v>
      </c>
      <c r="K21" s="4" t="s">
        <v>70</v>
      </c>
      <c r="L21" s="5">
        <f>MAX(L22:L35)</f>
        <v>2209222</v>
      </c>
    </row>
    <row r="22" spans="1:13" x14ac:dyDescent="0.2">
      <c r="A22" t="s">
        <v>5</v>
      </c>
      <c r="B22" s="5">
        <v>630159</v>
      </c>
      <c r="C22" s="5">
        <v>4213</v>
      </c>
      <c r="D22" s="5">
        <v>124775</v>
      </c>
      <c r="E22" s="5">
        <v>54480</v>
      </c>
      <c r="F22" s="5">
        <v>1800</v>
      </c>
      <c r="G22" s="5">
        <v>96166</v>
      </c>
      <c r="H22" s="5">
        <v>126697</v>
      </c>
      <c r="I22" s="5">
        <v>92413</v>
      </c>
      <c r="J22" s="5">
        <v>16111</v>
      </c>
      <c r="K22" s="5">
        <v>0</v>
      </c>
      <c r="L22" s="5">
        <f>SUM(C22:K22)</f>
        <v>516655</v>
      </c>
      <c r="M22" s="5" t="b">
        <f>L22&gt;=B22</f>
        <v>0</v>
      </c>
    </row>
    <row r="23" spans="1:13" x14ac:dyDescent="0.2">
      <c r="A23" t="s">
        <v>9</v>
      </c>
      <c r="B23" s="5">
        <v>579835</v>
      </c>
      <c r="C23" s="5">
        <v>109037</v>
      </c>
      <c r="D23" s="5">
        <v>129957</v>
      </c>
      <c r="E23" s="5">
        <v>256634</v>
      </c>
      <c r="F23" s="5">
        <v>-7</v>
      </c>
      <c r="G23" s="5">
        <v>16246</v>
      </c>
      <c r="H23" s="5">
        <v>39377</v>
      </c>
      <c r="I23" s="5">
        <v>0</v>
      </c>
      <c r="J23" s="5">
        <v>11644</v>
      </c>
      <c r="K23" s="5">
        <v>0</v>
      </c>
      <c r="L23" s="5">
        <f t="shared" ref="L23:L34" si="0">SUM(C23:K23)</f>
        <v>562888</v>
      </c>
      <c r="M23" s="5" t="b">
        <f t="shared" ref="M23:M34" si="1">L23&gt;=B23</f>
        <v>0</v>
      </c>
    </row>
    <row r="24" spans="1:13" x14ac:dyDescent="0.2">
      <c r="A24" t="s">
        <v>13</v>
      </c>
      <c r="B24" s="5">
        <v>727373</v>
      </c>
      <c r="C24" s="5">
        <v>82258</v>
      </c>
      <c r="D24" s="5">
        <v>94816</v>
      </c>
      <c r="E24" s="5">
        <v>47702</v>
      </c>
      <c r="F24" s="5">
        <v>0</v>
      </c>
      <c r="G24" s="5">
        <v>36183</v>
      </c>
      <c r="H24" s="5">
        <v>1914</v>
      </c>
      <c r="I24" s="5">
        <v>491665</v>
      </c>
      <c r="J24" s="5">
        <v>959</v>
      </c>
      <c r="K24" s="5">
        <v>0</v>
      </c>
      <c r="L24" s="5">
        <f t="shared" si="0"/>
        <v>755497</v>
      </c>
      <c r="M24" s="5" t="b">
        <f t="shared" si="1"/>
        <v>1</v>
      </c>
    </row>
    <row r="25" spans="1:13" x14ac:dyDescent="0.2">
      <c r="A25" t="s">
        <v>17</v>
      </c>
      <c r="B25" s="5">
        <v>551231</v>
      </c>
      <c r="C25" s="5">
        <v>17429</v>
      </c>
      <c r="D25" s="5">
        <v>399771</v>
      </c>
      <c r="E25" s="5">
        <v>68032</v>
      </c>
      <c r="F25" s="5">
        <v>114</v>
      </c>
      <c r="G25" s="5">
        <v>274</v>
      </c>
      <c r="H25" s="5">
        <v>56728</v>
      </c>
      <c r="I25" s="5">
        <v>0</v>
      </c>
      <c r="J25" s="5">
        <v>8924</v>
      </c>
      <c r="K25" s="5">
        <v>0</v>
      </c>
      <c r="L25" s="5">
        <f t="shared" si="0"/>
        <v>551272</v>
      </c>
      <c r="M25" s="5" t="b">
        <f t="shared" si="1"/>
        <v>1</v>
      </c>
    </row>
    <row r="26" spans="1:13" x14ac:dyDescent="0.2">
      <c r="A26" t="s">
        <v>21</v>
      </c>
      <c r="B26" s="5">
        <v>2089339</v>
      </c>
      <c r="C26" s="5">
        <v>246339</v>
      </c>
      <c r="D26" s="5">
        <v>957869</v>
      </c>
      <c r="E26" s="5">
        <v>669169</v>
      </c>
      <c r="F26" s="5">
        <v>6956</v>
      </c>
      <c r="G26" s="5">
        <v>43655</v>
      </c>
      <c r="H26" s="5">
        <v>56217</v>
      </c>
      <c r="I26" s="5">
        <v>204735</v>
      </c>
      <c r="J26" s="5">
        <v>24282</v>
      </c>
      <c r="K26" s="5">
        <v>0</v>
      </c>
      <c r="L26" s="5">
        <f t="shared" si="0"/>
        <v>2209222</v>
      </c>
      <c r="M26" s="5" t="b">
        <f t="shared" si="1"/>
        <v>1</v>
      </c>
    </row>
    <row r="27" spans="1:13" x14ac:dyDescent="0.2">
      <c r="A27" t="s">
        <v>25</v>
      </c>
      <c r="B27" s="7">
        <v>1760334</v>
      </c>
      <c r="C27" s="5">
        <v>434733.6</v>
      </c>
      <c r="D27" s="5">
        <v>558931</v>
      </c>
      <c r="E27" s="5">
        <v>196685</v>
      </c>
      <c r="F27" s="5">
        <v>0</v>
      </c>
      <c r="G27" s="5">
        <v>28726</v>
      </c>
      <c r="H27" s="5">
        <v>12411.099999999999</v>
      </c>
      <c r="I27" s="5">
        <v>494091</v>
      </c>
      <c r="J27" s="5">
        <v>5937</v>
      </c>
      <c r="K27" s="5">
        <v>0</v>
      </c>
      <c r="L27" s="5">
        <f t="shared" si="0"/>
        <v>1731514.7000000002</v>
      </c>
      <c r="M27" s="5" t="b">
        <f t="shared" si="1"/>
        <v>0</v>
      </c>
    </row>
    <row r="28" spans="1:13" x14ac:dyDescent="0.2">
      <c r="A28" t="s">
        <v>29</v>
      </c>
      <c r="B28" s="5">
        <v>301219</v>
      </c>
      <c r="C28" s="5">
        <v>4812</v>
      </c>
      <c r="D28" s="5">
        <v>135189</v>
      </c>
      <c r="E28" s="5">
        <v>80465</v>
      </c>
      <c r="F28" s="5">
        <v>0</v>
      </c>
      <c r="G28" s="5">
        <v>27828</v>
      </c>
      <c r="H28" s="5">
        <v>4564</v>
      </c>
      <c r="I28" s="5">
        <v>9631</v>
      </c>
      <c r="J28" s="5">
        <v>13011</v>
      </c>
      <c r="K28" s="5">
        <v>0</v>
      </c>
      <c r="L28" s="5">
        <f t="shared" si="0"/>
        <v>275500</v>
      </c>
      <c r="M28" s="5" t="b">
        <f t="shared" si="1"/>
        <v>0</v>
      </c>
    </row>
    <row r="29" spans="1:13" x14ac:dyDescent="0.2">
      <c r="A29" t="s">
        <v>33</v>
      </c>
      <c r="B29" s="5">
        <v>990809</v>
      </c>
      <c r="C29" s="5">
        <v>137314</v>
      </c>
      <c r="D29" s="5">
        <v>211400</v>
      </c>
      <c r="E29" s="5">
        <v>27453</v>
      </c>
      <c r="F29" s="5">
        <v>1435</v>
      </c>
      <c r="G29" s="5">
        <v>332928</v>
      </c>
      <c r="H29" s="5">
        <v>51563</v>
      </c>
      <c r="I29" s="5">
        <v>223717</v>
      </c>
      <c r="J29" s="5">
        <v>26656</v>
      </c>
      <c r="K29" s="5">
        <v>0</v>
      </c>
      <c r="L29" s="5">
        <f t="shared" si="0"/>
        <v>1012466</v>
      </c>
      <c r="M29" s="5" t="b">
        <f t="shared" si="1"/>
        <v>1</v>
      </c>
    </row>
    <row r="30" spans="1:13" x14ac:dyDescent="0.2">
      <c r="A30" t="s">
        <v>37</v>
      </c>
      <c r="B30" s="5">
        <v>383981</v>
      </c>
      <c r="C30" s="5">
        <v>0</v>
      </c>
      <c r="D30" s="5">
        <v>159983</v>
      </c>
      <c r="E30" s="5">
        <v>49641</v>
      </c>
      <c r="F30" s="5">
        <v>43</v>
      </c>
      <c r="G30" s="5">
        <v>78605</v>
      </c>
      <c r="H30" s="5">
        <v>0</v>
      </c>
      <c r="I30" s="5">
        <v>30318</v>
      </c>
      <c r="J30" s="5">
        <v>5508</v>
      </c>
      <c r="K30" s="5">
        <v>0</v>
      </c>
      <c r="L30" s="5">
        <f t="shared" si="0"/>
        <v>324098</v>
      </c>
      <c r="M30" s="5" t="b">
        <f t="shared" si="1"/>
        <v>0</v>
      </c>
    </row>
    <row r="31" spans="1:13" x14ac:dyDescent="0.2">
      <c r="A31" t="s">
        <v>41</v>
      </c>
      <c r="B31" s="5">
        <v>551462</v>
      </c>
      <c r="C31" s="5">
        <v>55740</v>
      </c>
      <c r="D31" s="5">
        <v>279959</v>
      </c>
      <c r="E31" s="5">
        <v>180855</v>
      </c>
      <c r="F31" s="5">
        <v>-7</v>
      </c>
      <c r="G31" s="5">
        <v>33905</v>
      </c>
      <c r="H31" s="5">
        <v>27860</v>
      </c>
      <c r="I31" s="5">
        <v>0</v>
      </c>
      <c r="J31" s="5">
        <v>8151</v>
      </c>
      <c r="K31" s="5">
        <v>0</v>
      </c>
      <c r="L31" s="5">
        <f t="shared" si="0"/>
        <v>586463</v>
      </c>
      <c r="M31" s="5" t="b">
        <f t="shared" si="1"/>
        <v>1</v>
      </c>
    </row>
    <row r="32" spans="1:13" x14ac:dyDescent="0.2">
      <c r="A32" t="s">
        <v>45</v>
      </c>
      <c r="B32" s="5">
        <v>259483.93</v>
      </c>
      <c r="C32" s="5">
        <v>23775</v>
      </c>
      <c r="D32" s="5">
        <v>113812</v>
      </c>
      <c r="E32" s="5">
        <v>96082</v>
      </c>
      <c r="F32" s="5">
        <v>0</v>
      </c>
      <c r="G32" s="5">
        <v>12580</v>
      </c>
      <c r="H32" s="5">
        <v>29398</v>
      </c>
      <c r="I32" s="5">
        <v>43095</v>
      </c>
      <c r="J32" s="5">
        <v>1878.9300000000003</v>
      </c>
      <c r="K32" s="5">
        <v>0</v>
      </c>
      <c r="L32" s="5">
        <f t="shared" si="0"/>
        <v>320620.93</v>
      </c>
      <c r="M32" s="5" t="b">
        <f t="shared" si="1"/>
        <v>1</v>
      </c>
    </row>
    <row r="33" spans="1:15" x14ac:dyDescent="0.2">
      <c r="A33" t="s">
        <v>49</v>
      </c>
      <c r="B33" s="5">
        <v>384140.05000000005</v>
      </c>
      <c r="C33" s="5">
        <v>49497.029999999992</v>
      </c>
      <c r="D33" s="5">
        <v>100621.09000000003</v>
      </c>
      <c r="E33" s="5">
        <v>155021</v>
      </c>
      <c r="F33" s="5">
        <v>0</v>
      </c>
      <c r="G33" s="5">
        <v>47413.920000000013</v>
      </c>
      <c r="H33" s="5">
        <v>2856.8099999999995</v>
      </c>
      <c r="I33" s="5">
        <v>181.88999999999996</v>
      </c>
      <c r="J33" s="5">
        <v>4213.2900000000009</v>
      </c>
      <c r="K33" s="5">
        <v>0</v>
      </c>
      <c r="L33" s="5">
        <f t="shared" si="0"/>
        <v>359805.03</v>
      </c>
      <c r="M33" s="5" t="b">
        <f t="shared" si="1"/>
        <v>0</v>
      </c>
    </row>
    <row r="34" spans="1:15" x14ac:dyDescent="0.2">
      <c r="A34" t="s">
        <v>53</v>
      </c>
      <c r="B34" s="5">
        <v>1057346</v>
      </c>
      <c r="C34" s="5">
        <v>94689</v>
      </c>
      <c r="D34" s="5">
        <v>319632</v>
      </c>
      <c r="E34" s="5">
        <v>90056</v>
      </c>
      <c r="F34" s="5">
        <v>0</v>
      </c>
      <c r="G34" s="5">
        <v>1528</v>
      </c>
      <c r="H34" s="5">
        <v>90270</v>
      </c>
      <c r="I34" s="5">
        <v>459786</v>
      </c>
      <c r="J34" s="5">
        <v>4749</v>
      </c>
      <c r="K34" s="5">
        <v>0</v>
      </c>
      <c r="L34" s="5">
        <f t="shared" si="0"/>
        <v>1060710</v>
      </c>
      <c r="M34" s="5" t="b">
        <f t="shared" si="1"/>
        <v>1</v>
      </c>
    </row>
    <row r="35" spans="1:15" x14ac:dyDescent="0.2">
      <c r="A35" t="s">
        <v>71</v>
      </c>
      <c r="B35" s="5"/>
      <c r="M35" s="5"/>
      <c r="O35" s="5"/>
    </row>
    <row r="36" spans="1:15" x14ac:dyDescent="0.2">
      <c r="A36" s="8" t="s">
        <v>80</v>
      </c>
    </row>
    <row r="38" spans="1:15" x14ac:dyDescent="0.2">
      <c r="A38" s="1" t="s">
        <v>79</v>
      </c>
    </row>
    <row r="39" spans="1:15" x14ac:dyDescent="0.2">
      <c r="B39" t="s">
        <v>5</v>
      </c>
      <c r="C39" t="s">
        <v>9</v>
      </c>
      <c r="D39" t="s">
        <v>13</v>
      </c>
      <c r="E39" t="s">
        <v>17</v>
      </c>
      <c r="F39" t="s">
        <v>21</v>
      </c>
      <c r="G39" t="s">
        <v>25</v>
      </c>
      <c r="H39" t="s">
        <v>29</v>
      </c>
      <c r="I39" t="s">
        <v>33</v>
      </c>
      <c r="J39" t="s">
        <v>37</v>
      </c>
      <c r="K39" t="s">
        <v>41</v>
      </c>
      <c r="L39" t="s">
        <v>45</v>
      </c>
      <c r="M39" t="s">
        <v>49</v>
      </c>
      <c r="N39" t="s">
        <v>53</v>
      </c>
    </row>
    <row r="40" spans="1:15" x14ac:dyDescent="0.2">
      <c r="A40" t="s">
        <v>5</v>
      </c>
      <c r="B40">
        <v>0</v>
      </c>
      <c r="C40">
        <v>2125</v>
      </c>
      <c r="D40">
        <v>1330</v>
      </c>
      <c r="E40">
        <v>2342</v>
      </c>
      <c r="F40">
        <v>2288</v>
      </c>
      <c r="G40">
        <v>1744</v>
      </c>
      <c r="H40">
        <v>2611</v>
      </c>
      <c r="I40">
        <v>954</v>
      </c>
      <c r="J40">
        <v>2475</v>
      </c>
      <c r="K40">
        <v>1947</v>
      </c>
      <c r="L40">
        <v>370</v>
      </c>
      <c r="M40">
        <v>1619</v>
      </c>
      <c r="N40">
        <v>1379</v>
      </c>
    </row>
    <row r="41" spans="1:15" x14ac:dyDescent="0.2">
      <c r="A41" t="s">
        <v>9</v>
      </c>
      <c r="B41">
        <v>2125</v>
      </c>
      <c r="C41">
        <v>0</v>
      </c>
      <c r="D41">
        <v>913</v>
      </c>
      <c r="E41">
        <v>650</v>
      </c>
      <c r="F41">
        <v>322</v>
      </c>
      <c r="G41">
        <v>599</v>
      </c>
      <c r="H41">
        <v>728</v>
      </c>
      <c r="I41">
        <v>2279</v>
      </c>
      <c r="J41">
        <v>541</v>
      </c>
      <c r="K41">
        <v>226</v>
      </c>
      <c r="L41">
        <v>1773</v>
      </c>
      <c r="M41">
        <v>511</v>
      </c>
      <c r="N41">
        <v>912</v>
      </c>
    </row>
    <row r="42" spans="1:15" x14ac:dyDescent="0.2">
      <c r="A42" t="s">
        <v>13</v>
      </c>
      <c r="B42">
        <v>1330</v>
      </c>
      <c r="C42">
        <v>913</v>
      </c>
      <c r="D42">
        <v>0</v>
      </c>
      <c r="E42">
        <v>1393</v>
      </c>
      <c r="F42">
        <v>988</v>
      </c>
      <c r="G42">
        <v>416</v>
      </c>
      <c r="H42">
        <v>1282</v>
      </c>
      <c r="I42">
        <v>1368</v>
      </c>
      <c r="J42">
        <v>1154</v>
      </c>
      <c r="K42">
        <v>821</v>
      </c>
      <c r="L42">
        <v>1037</v>
      </c>
      <c r="M42">
        <v>538</v>
      </c>
      <c r="N42">
        <v>781</v>
      </c>
    </row>
    <row r="43" spans="1:15" x14ac:dyDescent="0.2">
      <c r="A43" t="s">
        <v>17</v>
      </c>
      <c r="B43">
        <v>2342</v>
      </c>
      <c r="C43">
        <v>650</v>
      </c>
      <c r="D43">
        <v>1393</v>
      </c>
      <c r="E43">
        <v>0</v>
      </c>
      <c r="F43">
        <v>921</v>
      </c>
      <c r="G43">
        <v>1197</v>
      </c>
      <c r="H43">
        <v>1258</v>
      </c>
      <c r="I43">
        <v>2724</v>
      </c>
      <c r="J43">
        <v>1089</v>
      </c>
      <c r="K43">
        <v>594</v>
      </c>
      <c r="L43">
        <v>1972</v>
      </c>
      <c r="M43">
        <v>859</v>
      </c>
      <c r="N43">
        <v>964</v>
      </c>
    </row>
    <row r="44" spans="1:15" x14ac:dyDescent="0.2">
      <c r="A44" t="s">
        <v>21</v>
      </c>
      <c r="B44">
        <v>2288</v>
      </c>
      <c r="C44">
        <v>322</v>
      </c>
      <c r="D44">
        <v>988</v>
      </c>
      <c r="E44">
        <v>921</v>
      </c>
      <c r="F44">
        <v>0</v>
      </c>
      <c r="G44">
        <v>588</v>
      </c>
      <c r="H44">
        <v>413</v>
      </c>
      <c r="I44">
        <v>2306</v>
      </c>
      <c r="J44">
        <v>228</v>
      </c>
      <c r="K44">
        <v>534</v>
      </c>
      <c r="L44">
        <v>1956</v>
      </c>
      <c r="M44">
        <v>742</v>
      </c>
      <c r="N44">
        <v>1190</v>
      </c>
    </row>
    <row r="45" spans="1:15" x14ac:dyDescent="0.2">
      <c r="A45" t="s">
        <v>25</v>
      </c>
      <c r="B45">
        <v>1744</v>
      </c>
      <c r="C45">
        <v>599</v>
      </c>
      <c r="D45">
        <v>416</v>
      </c>
      <c r="E45">
        <v>1197</v>
      </c>
      <c r="F45">
        <v>588</v>
      </c>
      <c r="G45">
        <v>0</v>
      </c>
      <c r="H45">
        <v>867</v>
      </c>
      <c r="I45">
        <v>1721</v>
      </c>
      <c r="J45">
        <v>740</v>
      </c>
      <c r="K45">
        <v>606</v>
      </c>
      <c r="L45">
        <v>1440</v>
      </c>
      <c r="M45">
        <v>491</v>
      </c>
      <c r="N45">
        <v>925</v>
      </c>
    </row>
    <row r="46" spans="1:15" x14ac:dyDescent="0.2">
      <c r="A46" t="s">
        <v>29</v>
      </c>
      <c r="B46">
        <v>2611</v>
      </c>
      <c r="C46">
        <v>728</v>
      </c>
      <c r="D46">
        <v>1282</v>
      </c>
      <c r="E46">
        <v>1258</v>
      </c>
      <c r="F46">
        <v>413</v>
      </c>
      <c r="G46">
        <v>867</v>
      </c>
      <c r="H46">
        <v>0</v>
      </c>
      <c r="I46">
        <v>2496</v>
      </c>
      <c r="J46">
        <v>187</v>
      </c>
      <c r="K46">
        <v>946</v>
      </c>
      <c r="L46">
        <v>2300</v>
      </c>
      <c r="M46">
        <v>1139</v>
      </c>
      <c r="N46">
        <v>1597</v>
      </c>
    </row>
    <row r="47" spans="1:15" x14ac:dyDescent="0.2">
      <c r="A47" t="s">
        <v>33</v>
      </c>
      <c r="B47">
        <v>954</v>
      </c>
      <c r="C47">
        <v>2279</v>
      </c>
      <c r="D47">
        <v>1368</v>
      </c>
      <c r="E47">
        <v>2724</v>
      </c>
      <c r="F47">
        <v>2306</v>
      </c>
      <c r="G47">
        <v>1721</v>
      </c>
      <c r="H47">
        <v>2496</v>
      </c>
      <c r="I47">
        <v>0</v>
      </c>
      <c r="J47">
        <v>2422</v>
      </c>
      <c r="K47">
        <v>2182</v>
      </c>
      <c r="L47">
        <v>1107</v>
      </c>
      <c r="M47">
        <v>1871</v>
      </c>
      <c r="N47">
        <v>1874</v>
      </c>
    </row>
    <row r="48" spans="1:15" x14ac:dyDescent="0.2">
      <c r="A48" t="s">
        <v>37</v>
      </c>
      <c r="B48">
        <v>2475</v>
      </c>
      <c r="C48">
        <v>541</v>
      </c>
      <c r="D48">
        <v>1154</v>
      </c>
      <c r="E48">
        <v>1089</v>
      </c>
      <c r="F48">
        <v>228</v>
      </c>
      <c r="G48">
        <v>740</v>
      </c>
      <c r="H48">
        <v>187</v>
      </c>
      <c r="I48">
        <v>2422</v>
      </c>
      <c r="J48">
        <v>0</v>
      </c>
      <c r="K48">
        <v>760</v>
      </c>
      <c r="L48">
        <v>2153</v>
      </c>
      <c r="M48">
        <v>964</v>
      </c>
      <c r="N48">
        <v>1417</v>
      </c>
    </row>
    <row r="49" spans="1:15" x14ac:dyDescent="0.2">
      <c r="A49" t="s">
        <v>41</v>
      </c>
      <c r="B49">
        <v>1947</v>
      </c>
      <c r="C49">
        <v>226</v>
      </c>
      <c r="D49">
        <v>821</v>
      </c>
      <c r="E49">
        <v>594</v>
      </c>
      <c r="F49">
        <v>534</v>
      </c>
      <c r="G49">
        <v>606</v>
      </c>
      <c r="H49">
        <v>946</v>
      </c>
      <c r="I49">
        <v>2182</v>
      </c>
      <c r="J49">
        <v>760</v>
      </c>
      <c r="K49">
        <v>0</v>
      </c>
      <c r="L49">
        <v>1587</v>
      </c>
      <c r="M49">
        <v>332</v>
      </c>
      <c r="N49">
        <v>689</v>
      </c>
    </row>
    <row r="50" spans="1:15" x14ac:dyDescent="0.2">
      <c r="A50" t="s">
        <v>45</v>
      </c>
      <c r="B50">
        <v>370</v>
      </c>
      <c r="C50">
        <v>1773</v>
      </c>
      <c r="D50">
        <v>1037</v>
      </c>
      <c r="E50">
        <v>1972</v>
      </c>
      <c r="F50">
        <v>1956</v>
      </c>
      <c r="G50">
        <v>1440</v>
      </c>
      <c r="H50">
        <v>2300</v>
      </c>
      <c r="I50">
        <v>1107</v>
      </c>
      <c r="J50">
        <v>2153</v>
      </c>
      <c r="K50">
        <v>1587</v>
      </c>
      <c r="L50">
        <v>0</v>
      </c>
      <c r="M50">
        <v>1264</v>
      </c>
      <c r="N50">
        <v>1009</v>
      </c>
    </row>
    <row r="51" spans="1:15" x14ac:dyDescent="0.2">
      <c r="A51" t="s">
        <v>49</v>
      </c>
      <c r="B51">
        <v>1619</v>
      </c>
      <c r="C51">
        <v>511</v>
      </c>
      <c r="D51">
        <v>538</v>
      </c>
      <c r="E51">
        <v>859</v>
      </c>
      <c r="F51">
        <v>742</v>
      </c>
      <c r="G51">
        <v>491</v>
      </c>
      <c r="H51">
        <v>1139</v>
      </c>
      <c r="I51">
        <v>1871</v>
      </c>
      <c r="J51">
        <v>964</v>
      </c>
      <c r="K51">
        <v>332</v>
      </c>
      <c r="L51">
        <v>1264</v>
      </c>
      <c r="M51">
        <v>0</v>
      </c>
      <c r="N51">
        <v>468</v>
      </c>
    </row>
    <row r="52" spans="1:15" x14ac:dyDescent="0.2">
      <c r="A52" t="s">
        <v>53</v>
      </c>
      <c r="B52">
        <v>1379</v>
      </c>
      <c r="C52">
        <v>912</v>
      </c>
      <c r="D52">
        <v>781</v>
      </c>
      <c r="E52">
        <v>964</v>
      </c>
      <c r="F52">
        <v>1190</v>
      </c>
      <c r="G52">
        <v>925</v>
      </c>
      <c r="H52">
        <v>1597</v>
      </c>
      <c r="I52">
        <v>1874</v>
      </c>
      <c r="J52">
        <v>1417</v>
      </c>
      <c r="K52">
        <v>689</v>
      </c>
      <c r="L52">
        <v>1009</v>
      </c>
      <c r="M52">
        <v>468</v>
      </c>
      <c r="N52">
        <v>0</v>
      </c>
    </row>
    <row r="53" spans="1:15" x14ac:dyDescent="0.2">
      <c r="A53" t="s">
        <v>58</v>
      </c>
    </row>
    <row r="56" spans="1:15" x14ac:dyDescent="0.2">
      <c r="A56" s="1" t="s">
        <v>72</v>
      </c>
    </row>
    <row r="57" spans="1:15" x14ac:dyDescent="0.2">
      <c r="C57" s="9" t="s">
        <v>73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2">
      <c r="C58" t="s">
        <v>5</v>
      </c>
      <c r="D58" t="s">
        <v>9</v>
      </c>
      <c r="E58" t="s">
        <v>13</v>
      </c>
      <c r="F58" t="s">
        <v>17</v>
      </c>
      <c r="G58" t="s">
        <v>21</v>
      </c>
      <c r="H58" t="s">
        <v>25</v>
      </c>
      <c r="I58" t="s">
        <v>29</v>
      </c>
      <c r="J58" t="s">
        <v>33</v>
      </c>
      <c r="K58" t="s">
        <v>37</v>
      </c>
      <c r="L58" t="s">
        <v>41</v>
      </c>
      <c r="M58" t="s">
        <v>45</v>
      </c>
      <c r="N58" t="s">
        <v>49</v>
      </c>
      <c r="O58" t="s">
        <v>53</v>
      </c>
    </row>
    <row r="59" spans="1:15" x14ac:dyDescent="0.2">
      <c r="A59" s="10" t="s">
        <v>74</v>
      </c>
      <c r="B59" t="s">
        <v>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</row>
    <row r="60" spans="1:15" x14ac:dyDescent="0.2">
      <c r="A60" s="10"/>
      <c r="B60" t="s">
        <v>9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</row>
    <row r="61" spans="1:15" x14ac:dyDescent="0.2">
      <c r="A61" s="10"/>
      <c r="B61" t="s">
        <v>13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1</v>
      </c>
    </row>
    <row r="62" spans="1:15" x14ac:dyDescent="0.2">
      <c r="A62" s="10"/>
      <c r="B62" t="s">
        <v>17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</row>
    <row r="63" spans="1:15" x14ac:dyDescent="0.2">
      <c r="A63" s="10"/>
      <c r="B63" t="s">
        <v>21</v>
      </c>
      <c r="C63">
        <v>0</v>
      </c>
      <c r="D63">
        <v>1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</row>
    <row r="64" spans="1:15" x14ac:dyDescent="0.2">
      <c r="A64" s="10"/>
      <c r="B64" t="s">
        <v>25</v>
      </c>
      <c r="C64">
        <v>0</v>
      </c>
      <c r="D64">
        <v>0</v>
      </c>
      <c r="E64">
        <v>1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1</v>
      </c>
      <c r="O64">
        <v>0</v>
      </c>
    </row>
    <row r="65" spans="1:15" x14ac:dyDescent="0.2">
      <c r="A65" s="10"/>
      <c r="B65" t="s">
        <v>29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 x14ac:dyDescent="0.2">
      <c r="A66" s="10"/>
      <c r="B66" t="s">
        <v>33</v>
      </c>
      <c r="C66">
        <v>1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</row>
    <row r="67" spans="1:15" x14ac:dyDescent="0.2">
      <c r="A67" s="10"/>
      <c r="B67" t="s">
        <v>37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">
      <c r="A68" s="10"/>
      <c r="B68" t="s">
        <v>41</v>
      </c>
      <c r="C68">
        <v>0</v>
      </c>
      <c r="D68">
        <v>1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</row>
    <row r="69" spans="1:15" x14ac:dyDescent="0.2">
      <c r="A69" s="10"/>
      <c r="B69" t="s">
        <v>45</v>
      </c>
      <c r="C69">
        <v>1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">
      <c r="A70" s="10"/>
      <c r="B70" t="s">
        <v>49</v>
      </c>
      <c r="C70">
        <v>0</v>
      </c>
      <c r="D70">
        <v>1</v>
      </c>
      <c r="E70">
        <v>0</v>
      </c>
      <c r="F70">
        <v>0</v>
      </c>
      <c r="G70">
        <v>1</v>
      </c>
      <c r="H70">
        <v>1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</row>
    <row r="71" spans="1:15" x14ac:dyDescent="0.2">
      <c r="A71" s="10"/>
      <c r="B71" t="s">
        <v>53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">
      <c r="B72" t="s">
        <v>75</v>
      </c>
    </row>
    <row r="75" spans="1:15" x14ac:dyDescent="0.2">
      <c r="A75" s="1" t="s">
        <v>76</v>
      </c>
    </row>
    <row r="76" spans="1:15" x14ac:dyDescent="0.2">
      <c r="C76" s="9" t="s">
        <v>73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x14ac:dyDescent="0.2">
      <c r="B77" s="6"/>
      <c r="C77" s="6" t="s">
        <v>5</v>
      </c>
      <c r="D77" s="6" t="s">
        <v>9</v>
      </c>
      <c r="E77" s="6" t="s">
        <v>13</v>
      </c>
      <c r="F77" s="6" t="s">
        <v>17</v>
      </c>
      <c r="G77" s="6" t="s">
        <v>21</v>
      </c>
      <c r="H77" s="6" t="s">
        <v>25</v>
      </c>
      <c r="I77" s="6" t="s">
        <v>29</v>
      </c>
      <c r="J77" s="6" t="s">
        <v>33</v>
      </c>
      <c r="K77" s="6" t="s">
        <v>37</v>
      </c>
      <c r="L77" s="6" t="s">
        <v>41</v>
      </c>
      <c r="M77" s="6" t="s">
        <v>45</v>
      </c>
      <c r="N77" s="6" t="s">
        <v>49</v>
      </c>
      <c r="O77" t="s">
        <v>53</v>
      </c>
    </row>
    <row r="78" spans="1:15" x14ac:dyDescent="0.2">
      <c r="A78" s="10" t="s">
        <v>77</v>
      </c>
      <c r="B78" s="6" t="s">
        <v>5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>
        <v>0</v>
      </c>
    </row>
    <row r="79" spans="1:15" x14ac:dyDescent="0.2">
      <c r="A79" s="10"/>
      <c r="B79" s="6" t="s">
        <v>9</v>
      </c>
      <c r="C79" s="6">
        <v>0</v>
      </c>
      <c r="D79" s="6">
        <v>0</v>
      </c>
      <c r="E79" s="6">
        <v>0</v>
      </c>
      <c r="F79" s="6">
        <v>0</v>
      </c>
      <c r="G79" s="6">
        <v>17843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>
        <v>0</v>
      </c>
    </row>
    <row r="80" spans="1:15" x14ac:dyDescent="0.2">
      <c r="A80" s="10"/>
      <c r="B80" s="6" t="s">
        <v>13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21241.5</v>
      </c>
      <c r="I80" s="6">
        <v>0</v>
      </c>
      <c r="J80" s="6">
        <v>9535.5</v>
      </c>
      <c r="K80" s="6">
        <v>0</v>
      </c>
      <c r="L80" s="6">
        <v>0</v>
      </c>
      <c r="M80" s="6">
        <v>532</v>
      </c>
      <c r="N80" s="6">
        <v>0</v>
      </c>
      <c r="O80">
        <v>207</v>
      </c>
    </row>
    <row r="81" spans="1:15" x14ac:dyDescent="0.2">
      <c r="A81" s="10"/>
      <c r="B81" s="6" t="s">
        <v>17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38</v>
      </c>
      <c r="M81" s="6">
        <v>0</v>
      </c>
      <c r="N81" s="6">
        <v>0</v>
      </c>
      <c r="O81">
        <v>0</v>
      </c>
    </row>
    <row r="82" spans="1:15" x14ac:dyDescent="0.2">
      <c r="A82" s="10"/>
      <c r="B82" s="6" t="s">
        <v>21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141244.5</v>
      </c>
      <c r="I82" s="6">
        <v>0</v>
      </c>
      <c r="J82" s="6">
        <v>0</v>
      </c>
      <c r="K82" s="6">
        <v>52823</v>
      </c>
      <c r="L82" s="6">
        <v>0</v>
      </c>
      <c r="M82" s="6">
        <v>0</v>
      </c>
      <c r="N82" s="6">
        <v>0</v>
      </c>
      <c r="O82">
        <v>0</v>
      </c>
    </row>
    <row r="83" spans="1:15" x14ac:dyDescent="0.2">
      <c r="A83" s="10"/>
      <c r="B83" s="6" t="s">
        <v>25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55024.5</v>
      </c>
      <c r="O83">
        <v>0</v>
      </c>
    </row>
    <row r="84" spans="1:15" x14ac:dyDescent="0.2">
      <c r="A84" s="10"/>
      <c r="B84" s="6" t="s">
        <v>29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3688.5</v>
      </c>
      <c r="L84" s="6">
        <v>0</v>
      </c>
      <c r="M84" s="6">
        <v>0</v>
      </c>
      <c r="N84" s="6">
        <v>0</v>
      </c>
      <c r="O84">
        <v>0</v>
      </c>
    </row>
    <row r="85" spans="1:15" x14ac:dyDescent="0.2">
      <c r="A85" s="10"/>
      <c r="B85" s="6" t="s">
        <v>33</v>
      </c>
      <c r="C85" s="6">
        <v>35725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6303.5</v>
      </c>
      <c r="N85" s="6">
        <v>0</v>
      </c>
      <c r="O85">
        <v>0</v>
      </c>
    </row>
    <row r="86" spans="1:15" x14ac:dyDescent="0.2">
      <c r="A86" s="10"/>
      <c r="B86" s="6" t="s">
        <v>37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>
        <v>0</v>
      </c>
    </row>
    <row r="87" spans="1:15" x14ac:dyDescent="0.2">
      <c r="A87" s="10"/>
      <c r="B87" s="6" t="s">
        <v>41</v>
      </c>
      <c r="C87" s="6">
        <v>0</v>
      </c>
      <c r="D87" s="6">
        <v>31210.5</v>
      </c>
      <c r="E87" s="6">
        <v>0</v>
      </c>
      <c r="F87" s="6">
        <v>0</v>
      </c>
      <c r="G87" s="6">
        <v>0</v>
      </c>
      <c r="H87" s="6">
        <v>15117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>
        <v>0</v>
      </c>
    </row>
    <row r="88" spans="1:15" x14ac:dyDescent="0.2">
      <c r="A88" s="10"/>
      <c r="B88" s="6" t="s">
        <v>45</v>
      </c>
      <c r="C88" s="6">
        <v>71314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>
        <v>0</v>
      </c>
    </row>
    <row r="89" spans="1:15" x14ac:dyDescent="0.2">
      <c r="A89" s="10"/>
      <c r="B89" s="6" t="s">
        <v>49</v>
      </c>
      <c r="C89" s="6">
        <v>0</v>
      </c>
      <c r="D89" s="6">
        <v>1009.5</v>
      </c>
      <c r="E89" s="6">
        <v>0</v>
      </c>
      <c r="F89" s="6">
        <v>0</v>
      </c>
      <c r="G89" s="6">
        <v>21441</v>
      </c>
      <c r="H89" s="6">
        <v>0</v>
      </c>
      <c r="I89" s="6">
        <v>0</v>
      </c>
      <c r="J89" s="6">
        <v>0</v>
      </c>
      <c r="K89" s="6">
        <v>0</v>
      </c>
      <c r="L89" s="6">
        <v>10267</v>
      </c>
      <c r="M89" s="6">
        <v>0</v>
      </c>
      <c r="N89" s="6">
        <v>0</v>
      </c>
      <c r="O89">
        <v>0</v>
      </c>
    </row>
    <row r="90" spans="1:15" x14ac:dyDescent="0.2">
      <c r="A90" s="10"/>
      <c r="B90" t="s">
        <v>53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</sheetData>
  <mergeCells count="5">
    <mergeCell ref="C20:K20"/>
    <mergeCell ref="C57:O57"/>
    <mergeCell ref="A59:A71"/>
    <mergeCell ref="C76:O76"/>
    <mergeCell ref="A78:A90"/>
  </mergeCells>
  <pageMargins left="0.7" right="0.7" top="0.75" bottom="0.75" header="0.3" footer="0.3"/>
  <ignoredErrors>
    <ignoredError sqref="L22:L3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Brandt</dc:creator>
  <cp:lastModifiedBy>Victoria Dinov</cp:lastModifiedBy>
  <dcterms:created xsi:type="dcterms:W3CDTF">2024-04-18T19:18:46Z</dcterms:created>
  <dcterms:modified xsi:type="dcterms:W3CDTF">2026-04-13T20:49:04Z</dcterms:modified>
</cp:coreProperties>
</file>